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5CF03583-82EC-474B-A8F2-437C6010B5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" sheetId="1" r:id="rId1"/>
  </sheets>
  <definedNames>
    <definedName name="ColumnTitle1">SimpleInvoice[[#Headers],[Item '#]]</definedName>
    <definedName name="company_name">Invoice!$B$1</definedName>
    <definedName name="_xlnm.Print_Titles" localSheetId="0">Invoice!$9:$9</definedName>
    <definedName name="RowTitleRegion1..C7">Invoice!$B$4</definedName>
    <definedName name="RowTitleRegion2..G5">Invoice!$F$4</definedName>
    <definedName name="RowTitleRegion3..G26">Invoice!$F$13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G10" i="1"/>
  <c r="G11" i="1"/>
  <c r="D6" i="1"/>
  <c r="B8" i="1"/>
  <c r="G12" i="1"/>
  <c r="G13" i="1" l="1"/>
  <c r="G15" i="1" s="1"/>
  <c r="G18" i="1" l="1"/>
</calcChain>
</file>

<file path=xl/sharedStrings.xml><?xml version="1.0" encoding="utf-8"?>
<sst xmlns="http://schemas.openxmlformats.org/spreadsheetml/2006/main" count="30" uniqueCount="27">
  <si>
    <t>TOTAL</t>
  </si>
  <si>
    <t>Description</t>
  </si>
  <si>
    <t>Deposit Received</t>
  </si>
  <si>
    <t>Tax Rate</t>
  </si>
  <si>
    <t>Sales Tax</t>
  </si>
  <si>
    <t>Other</t>
  </si>
  <si>
    <t>Qty</t>
  </si>
  <si>
    <t>Price</t>
  </si>
  <si>
    <t>Discount</t>
  </si>
  <si>
    <t>Unit Price</t>
  </si>
  <si>
    <t>Item #</t>
  </si>
  <si>
    <t>Quotation  Subtotal</t>
  </si>
  <si>
    <t>1.</t>
  </si>
  <si>
    <t>Metsi a Sechaba &amp; Projects (pty) LTD</t>
  </si>
  <si>
    <t>metsiasechaba@gmail.com</t>
  </si>
  <si>
    <t>P: 072 112 3110</t>
  </si>
  <si>
    <t>Maruping village, House No: 1556, Rekaofela street                      Kuruman 8460</t>
  </si>
  <si>
    <t>Company Reg # 2020/657668/07</t>
  </si>
  <si>
    <t xml:space="preserve">                </t>
  </si>
  <si>
    <t xml:space="preserve">               </t>
  </si>
  <si>
    <t xml:space="preserve">MAKE PAYMENTS TO:                                  </t>
  </si>
  <si>
    <t xml:space="preserve">standard Bank                                                                                                                                                                  Acc no: 10137402455                                                                                                                                               Branch Code: 502                                                                                                                                                                                    Acc Type: Cheque                                                                                                                                          </t>
  </si>
  <si>
    <t>500ml water case</t>
  </si>
  <si>
    <t>Bill To:    The SUDS</t>
  </si>
  <si>
    <t>Address:   Mothibistad ko di shopong</t>
  </si>
  <si>
    <t>Date:02/06/2026</t>
  </si>
  <si>
    <t>Invoice #MT006: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</si>
</sst>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@\ \ "/>
    <numFmt numFmtId="166" formatCode="#_)"/>
    <numFmt numFmtId="167" formatCode="[&lt;=9999999]###\-####;\(###\)\ ###\-####"/>
    <numFmt numFmtId="168" formatCode="&quot;R&quot;#,##0.00"/>
    <numFmt numFmtId="169" formatCode="_-[$R-1C09]* #,##0.00_-;\-[$R-1C09]* #,##0.00_-;_-[$R-1C09]* &quot;-&quot;??_-;_-@_-"/>
  </numFmts>
  <fonts count="22" x14ac:knownFonts="1">
    <font>
      <sz val="11"/>
      <color theme="2" tint="-0.749961851863155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4"/>
      <color theme="4" tint="-0.24994659260841701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2" tint="-0.749961851863155"/>
      <name val="Tahoma"/>
      <family val="2"/>
    </font>
    <font>
      <sz val="10"/>
      <color theme="2" tint="-0.749961851863155"/>
      <name val="Times New Roman"/>
      <family val="1"/>
    </font>
    <font>
      <sz val="10"/>
      <color theme="3"/>
      <name val="Tahoma"/>
      <family val="2"/>
    </font>
    <font>
      <sz val="10"/>
      <color theme="4" tint="-0.2499465926084170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ck">
        <color theme="2"/>
      </top>
      <bottom/>
      <diagonal/>
    </border>
    <border>
      <left/>
      <right/>
      <top/>
      <bottom style="thick">
        <color theme="4" tint="0.59996337778862885"/>
      </bottom>
      <diagonal/>
    </border>
    <border>
      <left/>
      <right/>
      <top style="thick">
        <color theme="4" tint="0.599963377788628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5" fillId="0" borderId="0" applyNumberFormat="0" applyFill="0" applyBorder="0" applyAlignment="0" applyProtection="0"/>
    <xf numFmtId="0" fontId="10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left" vertical="center" indent="1"/>
    </xf>
    <xf numFmtId="10" fontId="12" fillId="0" borderId="0" applyFill="0" applyBorder="0" applyProtection="0">
      <alignment horizontal="right" vertical="center"/>
    </xf>
    <xf numFmtId="0" fontId="5" fillId="0" borderId="0" applyNumberFormat="0" applyFill="0" applyBorder="0" applyAlignment="0" applyProtection="0">
      <alignment vertical="top" wrapText="1"/>
    </xf>
    <xf numFmtId="0" fontId="4" fillId="3" borderId="3" applyProtection="0">
      <alignment vertical="center"/>
    </xf>
    <xf numFmtId="0" fontId="5" fillId="2" borderId="0" applyNumberFormat="0" applyBorder="0" applyProtection="0">
      <alignment vertical="center" wrapText="1"/>
    </xf>
    <xf numFmtId="0" fontId="13" fillId="0" borderId="1" applyFill="0" applyProtection="0">
      <alignment horizontal="right" vertical="center" indent="1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1" applyNumberFormat="0" applyAlignment="0" applyProtection="0"/>
    <xf numFmtId="0" fontId="5" fillId="5" borderId="0" applyBorder="0" applyProtection="0">
      <alignment horizontal="left" indent="1"/>
    </xf>
    <xf numFmtId="164" fontId="11" fillId="0" borderId="0" applyFont="0" applyFill="0" applyBorder="0" applyProtection="0">
      <alignment horizontal="right" vertical="center"/>
    </xf>
    <xf numFmtId="164" fontId="12" fillId="0" borderId="0" applyFill="0" applyBorder="0" applyProtection="0">
      <alignment horizontal="right" vertical="center"/>
    </xf>
    <xf numFmtId="0" fontId="14" fillId="4" borderId="0" applyNumberFormat="0" applyBorder="0" applyProtection="0">
      <alignment horizontal="left" vertical="top" wrapText="1" indent="1"/>
    </xf>
    <xf numFmtId="167" fontId="5" fillId="0" borderId="0" applyFont="0" applyFill="0" applyBorder="0" applyAlignment="0">
      <alignment vertical="center"/>
    </xf>
    <xf numFmtId="166" fontId="11" fillId="0" borderId="0" applyFont="0" applyFill="0" applyBorder="0">
      <alignment horizontal="right" vertical="center"/>
    </xf>
    <xf numFmtId="14" fontId="9" fillId="0" borderId="0" applyFont="0" applyFill="0" applyBorder="0" applyAlignment="0" applyProtection="0">
      <alignment horizontal="left" wrapText="1"/>
    </xf>
  </cellStyleXfs>
  <cellXfs count="48">
    <xf numFmtId="0" fontId="0" fillId="0" borderId="0" xfId="0">
      <alignment horizontal="left" vertical="center" wrapText="1" indent="1"/>
    </xf>
    <xf numFmtId="0" fontId="10" fillId="0" borderId="0" xfId="2" applyProtection="1">
      <alignment vertical="center"/>
    </xf>
    <xf numFmtId="0" fontId="2" fillId="0" borderId="0" xfId="0" applyFont="1">
      <alignment horizontal="left" vertical="center" wrapText="1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3" borderId="3" xfId="6" applyProtection="1">
      <alignment vertical="center"/>
    </xf>
    <xf numFmtId="0" fontId="4" fillId="3" borderId="3" xfId="6" applyAlignment="1" applyProtection="1">
      <alignment vertical="top" wrapText="1"/>
    </xf>
    <xf numFmtId="0" fontId="4" fillId="3" borderId="3" xfId="6" applyAlignment="1" applyProtection="1">
      <alignment horizontal="left" vertical="center" indent="2"/>
    </xf>
    <xf numFmtId="0" fontId="10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5" fillId="2" borderId="0" xfId="7" applyProtection="1">
      <alignment vertical="center" wrapText="1"/>
    </xf>
    <xf numFmtId="14" fontId="0" fillId="0" borderId="0" xfId="18" applyFont="1" applyAlignment="1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167" fontId="10" fillId="0" borderId="0" xfId="2" applyNumberFormat="1">
      <alignment vertical="center"/>
    </xf>
    <xf numFmtId="0" fontId="0" fillId="0" borderId="0" xfId="0" applyAlignment="1">
      <alignment horizontal="left" vertical="center" wrapText="1"/>
    </xf>
    <xf numFmtId="0" fontId="10" fillId="0" borderId="0" xfId="2" applyAlignment="1" applyProtection="1">
      <alignment vertical="top"/>
    </xf>
    <xf numFmtId="0" fontId="5" fillId="2" borderId="0" xfId="7" applyBorder="1">
      <alignment vertical="center" wrapText="1"/>
    </xf>
    <xf numFmtId="167" fontId="5" fillId="2" borderId="0" xfId="16" applyFill="1" applyBorder="1" applyAlignment="1">
      <alignment vertical="center" wrapText="1"/>
    </xf>
    <xf numFmtId="0" fontId="5" fillId="2" borderId="0" xfId="1" applyFill="1" applyBorder="1" applyAlignment="1">
      <alignment vertical="center" wrapText="1"/>
    </xf>
    <xf numFmtId="167" fontId="5" fillId="2" borderId="2" xfId="16" applyFill="1" applyBorder="1" applyAlignment="1">
      <alignment vertical="center" wrapText="1"/>
    </xf>
    <xf numFmtId="0" fontId="5" fillId="2" borderId="2" xfId="1" applyFill="1" applyBorder="1" applyAlignment="1">
      <alignment vertical="center" wrapText="1"/>
    </xf>
    <xf numFmtId="0" fontId="5" fillId="2" borderId="2" xfId="7" applyBorder="1">
      <alignment vertical="center" wrapText="1"/>
    </xf>
    <xf numFmtId="0" fontId="5" fillId="2" borderId="4" xfId="7" applyBorder="1">
      <alignment vertical="center" wrapText="1"/>
    </xf>
    <xf numFmtId="0" fontId="14" fillId="4" borderId="0" xfId="15">
      <alignment horizontal="left" vertical="top" wrapText="1" indent="1"/>
    </xf>
    <xf numFmtId="0" fontId="5" fillId="5" borderId="0" xfId="12" applyProtection="1">
      <alignment horizontal="left" indent="1"/>
    </xf>
    <xf numFmtId="167" fontId="10" fillId="0" borderId="0" xfId="2" applyNumberFormat="1">
      <alignment vertical="center"/>
    </xf>
    <xf numFmtId="0" fontId="10" fillId="0" borderId="0" xfId="2" applyBorder="1" applyProtection="1">
      <alignment vertical="center"/>
    </xf>
    <xf numFmtId="164" fontId="3" fillId="0" borderId="5" xfId="3" applyNumberFormat="1" applyFill="1" applyBorder="1" applyProtection="1">
      <alignment horizontal="left" vertical="center" indent="1"/>
    </xf>
    <xf numFmtId="0" fontId="3" fillId="0" borderId="5" xfId="3" applyFill="1" applyBorder="1">
      <alignment horizontal="left" vertical="center" indent="1"/>
    </xf>
    <xf numFmtId="0" fontId="16" fillId="7" borderId="5" xfId="0" applyFont="1" applyFill="1" applyBorder="1">
      <alignment horizontal="left" vertical="center" wrapText="1" indent="1"/>
    </xf>
    <xf numFmtId="0" fontId="19" fillId="7" borderId="5" xfId="3" applyFont="1" applyFill="1" applyBorder="1">
      <alignment horizontal="left" vertical="center" indent="1"/>
    </xf>
    <xf numFmtId="166" fontId="19" fillId="7" borderId="5" xfId="3" applyNumberFormat="1" applyFont="1" applyFill="1" applyBorder="1">
      <alignment horizontal="left" vertical="center" indent="1"/>
    </xf>
    <xf numFmtId="0" fontId="3" fillId="7" borderId="5" xfId="3" applyFill="1" applyBorder="1">
      <alignment horizontal="left" vertical="center" indent="1"/>
    </xf>
    <xf numFmtId="0" fontId="19" fillId="7" borderId="5" xfId="0" applyFont="1" applyFill="1" applyBorder="1">
      <alignment horizontal="left" vertical="center" wrapText="1" indent="1"/>
    </xf>
    <xf numFmtId="0" fontId="5" fillId="5" borderId="0" xfId="12" applyBorder="1" applyProtection="1">
      <alignment horizontal="left" indent="1"/>
    </xf>
    <xf numFmtId="0" fontId="14" fillId="4" borderId="0" xfId="15" applyBorder="1">
      <alignment horizontal="left" vertical="top" wrapText="1" indent="1"/>
    </xf>
    <xf numFmtId="169" fontId="19" fillId="7" borderId="5" xfId="3" applyNumberFormat="1" applyFont="1" applyFill="1" applyBorder="1" applyAlignment="1" applyProtection="1">
      <alignment horizontal="center" vertical="center"/>
    </xf>
    <xf numFmtId="169" fontId="19" fillId="7" borderId="6" xfId="0" applyNumberFormat="1" applyFont="1" applyFill="1" applyBorder="1" applyAlignment="1">
      <alignment horizontal="center" vertical="center"/>
    </xf>
    <xf numFmtId="2" fontId="15" fillId="7" borderId="5" xfId="13" applyNumberFormat="1" applyFont="1" applyFill="1" applyBorder="1" applyAlignment="1" applyProtection="1">
      <alignment horizontal="center" vertical="center"/>
    </xf>
    <xf numFmtId="168" fontId="18" fillId="7" borderId="5" xfId="13" applyNumberFormat="1" applyFont="1" applyFill="1" applyBorder="1" applyProtection="1">
      <alignment horizontal="right" vertical="center"/>
    </xf>
    <xf numFmtId="168" fontId="15" fillId="7" borderId="5" xfId="13" applyNumberFormat="1" applyFont="1" applyFill="1" applyBorder="1" applyProtection="1">
      <alignment horizontal="right" vertical="center"/>
    </xf>
    <xf numFmtId="0" fontId="20" fillId="7" borderId="5" xfId="8" applyFont="1" applyFill="1" applyBorder="1">
      <alignment horizontal="right" vertical="center" indent="1"/>
    </xf>
    <xf numFmtId="168" fontId="17" fillId="7" borderId="5" xfId="13" applyNumberFormat="1" applyFont="1" applyFill="1" applyBorder="1">
      <alignment horizontal="right" vertical="center"/>
    </xf>
    <xf numFmtId="168" fontId="17" fillId="7" borderId="5" xfId="4" applyNumberFormat="1" applyFont="1" applyFill="1" applyBorder="1">
      <alignment horizontal="right" vertical="center"/>
    </xf>
    <xf numFmtId="165" fontId="21" fillId="7" borderId="5" xfId="11" applyNumberFormat="1" applyFont="1" applyFill="1" applyBorder="1" applyAlignment="1" applyProtection="1">
      <alignment horizontal="right" vertical="center"/>
    </xf>
    <xf numFmtId="168" fontId="17" fillId="7" borderId="5" xfId="13" applyNumberFormat="1" applyFont="1" applyFill="1" applyBorder="1" applyProtection="1">
      <alignment horizontal="right" vertical="center"/>
    </xf>
    <xf numFmtId="166" fontId="3" fillId="0" borderId="5" xfId="3" applyNumberFormat="1" applyFill="1" applyBorder="1">
      <alignment horizontal="left" vertical="center" indent="1"/>
    </xf>
  </cellXfs>
  <cellStyles count="19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1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ahoma"/>
        <family val="2"/>
        <scheme val="none"/>
      </font>
      <numFmt numFmtId="168" formatCode="&quot;R&quot;#,##0.00"/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ahoma"/>
        <family val="2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69" formatCode="_-[$R-1C09]* #,##0.00_-;\-[$R-1C09]* #,##0.00_-;_-[$R-1C09]* &quot;-&quot;??_-;_-@_-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17"/>
      <tableStyleElement type="headerRow" dxfId="16"/>
      <tableStyleElement type="totalRow" dxfId="15"/>
      <tableStyleElement type="lastColumn" dxfId="14"/>
      <tableStyleElement type="firstRowStripe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9:G12" totalsRowShown="0" headerRowDxfId="0" dataDxfId="6" headerRowBorderDxfId="1" headerRowCellStyle="Heading 2">
  <autoFilter ref="B9:G12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tem #" dataDxfId="8"/>
    <tableColumn id="2" xr3:uid="{00000000-0010-0000-0000-000002000000}" name="Description" dataDxfId="7"/>
    <tableColumn id="7" xr3:uid="{00000000-0010-0000-0000-000007000000}" name="Qty" dataDxfId="5"/>
    <tableColumn id="8" xr3:uid="{00000000-0010-0000-0000-000008000000}" name="Unit Price" dataDxfId="4"/>
    <tableColumn id="10" xr3:uid="{00000000-0010-0000-0000-00000A000000}" name="Discount" dataDxfId="3"/>
    <tableColumn id="11" xr3:uid="{00000000-0010-0000-0000-00000B000000}" name="Price" dataDxfId="2" dataCellStyle="Currency">
      <calculatedColumnFormula>IFERROR((D10*E10)-F10,"")</calculatedColumnFormula>
    </tableColumn>
  </tableColumns>
  <tableStyleInfo name="Invoice" showFirstColumn="0" showLastColumn="0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siasecha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H18"/>
  <sheetViews>
    <sheetView showGridLines="0" tabSelected="1" topLeftCell="A8" zoomScale="115" zoomScaleNormal="115" workbookViewId="0">
      <selection activeCell="D6" sqref="D6:E6"/>
    </sheetView>
  </sheetViews>
  <sheetFormatPr defaultColWidth="9" defaultRowHeight="34" customHeight="1" x14ac:dyDescent="0.35"/>
  <cols>
    <col min="1" max="1" width="2.7265625" customWidth="1"/>
    <col min="2" max="2" width="25.7265625" customWidth="1"/>
    <col min="3" max="3" width="30.7265625" customWidth="1"/>
    <col min="4" max="4" width="19.7265625" customWidth="1"/>
    <col min="5" max="5" width="13.7265625" customWidth="1"/>
    <col min="6" max="6" width="17" customWidth="1"/>
    <col min="7" max="7" width="14.54296875" customWidth="1"/>
    <col min="8" max="8" width="2.7265625" customWidth="1"/>
    <col min="9" max="9" width="11.26953125" customWidth="1"/>
  </cols>
  <sheetData>
    <row r="1" spans="1:8" ht="58" customHeight="1" thickBot="1" x14ac:dyDescent="0.4">
      <c r="A1" s="12"/>
      <c r="B1" s="7" t="s">
        <v>13</v>
      </c>
      <c r="C1" s="7"/>
      <c r="D1" s="7"/>
      <c r="E1" s="7"/>
      <c r="F1" s="5"/>
      <c r="G1" s="6"/>
      <c r="H1" s="6"/>
    </row>
    <row r="2" spans="1:8" ht="29.25" customHeight="1" thickTop="1" x14ac:dyDescent="0.35">
      <c r="B2" s="23" t="s">
        <v>17</v>
      </c>
      <c r="C2" s="23"/>
      <c r="D2" s="20" t="s">
        <v>15</v>
      </c>
      <c r="E2" s="20"/>
      <c r="F2" s="21" t="s">
        <v>14</v>
      </c>
      <c r="G2" s="22"/>
      <c r="H2" s="10"/>
    </row>
    <row r="3" spans="1:8" ht="42.75" customHeight="1" x14ac:dyDescent="0.35">
      <c r="B3" s="17" t="s">
        <v>16</v>
      </c>
      <c r="C3" s="17"/>
      <c r="D3" s="18"/>
      <c r="E3" s="18"/>
      <c r="F3" s="19"/>
      <c r="G3" s="17"/>
      <c r="H3" s="10"/>
    </row>
    <row r="4" spans="1:8" ht="21.75" customHeight="1" x14ac:dyDescent="0.35">
      <c r="B4" s="1" t="s">
        <v>23</v>
      </c>
      <c r="C4" s="9"/>
      <c r="D4" s="26" t="str">
        <f>"Phone: 072 112 3110 "</f>
        <v xml:space="preserve">Phone: 072 112 3110 </v>
      </c>
      <c r="E4" s="26"/>
      <c r="F4" s="8" t="s">
        <v>26</v>
      </c>
      <c r="H4" s="4"/>
    </row>
    <row r="5" spans="1:8" ht="15.75" customHeight="1" x14ac:dyDescent="0.35">
      <c r="B5" s="1" t="s">
        <v>19</v>
      </c>
      <c r="C5" s="9"/>
      <c r="D5" s="14"/>
      <c r="E5" s="14"/>
      <c r="F5" s="8"/>
      <c r="H5" s="4"/>
    </row>
    <row r="6" spans="1:8" ht="17.25" customHeight="1" x14ac:dyDescent="0.3">
      <c r="B6" s="16" t="s">
        <v>24</v>
      </c>
      <c r="C6" s="15"/>
      <c r="D6" s="26" t="str">
        <f>"Fax: 0   "</f>
        <v xml:space="preserve">Fax: 0   </v>
      </c>
      <c r="E6" s="26"/>
      <c r="F6" s="8" t="s">
        <v>25</v>
      </c>
      <c r="G6" s="11"/>
      <c r="H6" s="4"/>
    </row>
    <row r="7" spans="1:8" ht="20.149999999999999" customHeight="1" x14ac:dyDescent="0.3">
      <c r="B7" s="16" t="s">
        <v>18</v>
      </c>
      <c r="C7" s="15"/>
      <c r="D7" s="14"/>
      <c r="E7" s="14"/>
      <c r="F7" s="8"/>
      <c r="G7" s="11"/>
      <c r="H7" s="4"/>
    </row>
    <row r="8" spans="1:8" ht="21" customHeight="1" x14ac:dyDescent="0.35">
      <c r="B8" s="27" t="str">
        <f>"Invoice For: water "</f>
        <v xml:space="preserve">Invoice For: water </v>
      </c>
      <c r="C8" s="13"/>
      <c r="D8" s="13"/>
      <c r="E8" s="13"/>
      <c r="F8" s="13"/>
      <c r="G8" s="13"/>
      <c r="H8" s="2"/>
    </row>
    <row r="9" spans="1:8" ht="23.25" customHeight="1" x14ac:dyDescent="0.35">
      <c r="B9" s="29" t="s">
        <v>10</v>
      </c>
      <c r="C9" s="29" t="s">
        <v>1</v>
      </c>
      <c r="D9" s="47" t="s">
        <v>6</v>
      </c>
      <c r="E9" s="28" t="s">
        <v>9</v>
      </c>
      <c r="F9" s="28" t="s">
        <v>8</v>
      </c>
      <c r="G9" s="28" t="s">
        <v>7</v>
      </c>
      <c r="H9" s="3"/>
    </row>
    <row r="10" spans="1:8" ht="23.25" customHeight="1" x14ac:dyDescent="0.35">
      <c r="B10" s="30" t="s">
        <v>12</v>
      </c>
      <c r="C10" s="31" t="s">
        <v>22</v>
      </c>
      <c r="D10" s="32">
        <v>30</v>
      </c>
      <c r="E10" s="37">
        <v>204</v>
      </c>
      <c r="F10" s="39">
        <v>0</v>
      </c>
      <c r="G10" s="40">
        <f>IFERROR((D10*E10)-F10,"")</f>
        <v>6120</v>
      </c>
      <c r="H10" s="3"/>
    </row>
    <row r="11" spans="1:8" ht="23.25" customHeight="1" x14ac:dyDescent="0.35">
      <c r="B11" s="33"/>
      <c r="C11" s="31" t="s">
        <v>22</v>
      </c>
      <c r="D11" s="32">
        <v>4</v>
      </c>
      <c r="E11" s="37">
        <v>204</v>
      </c>
      <c r="F11" s="39">
        <v>0</v>
      </c>
      <c r="G11" s="40">
        <f>IFERROR((D11*E11)-F11,"")</f>
        <v>816</v>
      </c>
      <c r="H11" s="3"/>
    </row>
    <row r="12" spans="1:8" ht="20.25" customHeight="1" x14ac:dyDescent="0.35">
      <c r="B12" s="30" t="s">
        <v>12</v>
      </c>
      <c r="C12" s="31" t="s">
        <v>22</v>
      </c>
      <c r="D12" s="34">
        <v>8</v>
      </c>
      <c r="E12" s="38">
        <v>204</v>
      </c>
      <c r="F12" s="39">
        <v>0</v>
      </c>
      <c r="G12" s="41">
        <f t="shared" ref="G12" si="0">IFERROR((D12*E12)-F12,"")</f>
        <v>1632</v>
      </c>
      <c r="H12" s="3"/>
    </row>
    <row r="13" spans="1:8" ht="20.25" customHeight="1" x14ac:dyDescent="0.35">
      <c r="D13" s="13"/>
      <c r="E13" s="13"/>
      <c r="F13" s="42" t="s">
        <v>11</v>
      </c>
      <c r="G13" s="43">
        <f>SUM(SimpleInvoice[Price])</f>
        <v>8568</v>
      </c>
      <c r="H13" s="3"/>
    </row>
    <row r="14" spans="1:8" ht="20.25" customHeight="1" x14ac:dyDescent="0.35">
      <c r="D14" s="13"/>
      <c r="E14" s="13"/>
      <c r="F14" s="42" t="s">
        <v>3</v>
      </c>
      <c r="G14" s="44">
        <v>0</v>
      </c>
      <c r="H14" s="3"/>
    </row>
    <row r="15" spans="1:8" ht="20.25" customHeight="1" x14ac:dyDescent="0.35">
      <c r="D15" s="13"/>
      <c r="E15" s="13"/>
      <c r="F15" s="42" t="s">
        <v>4</v>
      </c>
      <c r="G15" s="43">
        <f>IFERROR(G13*G14,"")</f>
        <v>0</v>
      </c>
      <c r="H15" s="3"/>
    </row>
    <row r="16" spans="1:8" ht="20.25" customHeight="1" x14ac:dyDescent="0.35">
      <c r="F16" s="42" t="s">
        <v>5</v>
      </c>
      <c r="G16" s="43">
        <v>0</v>
      </c>
      <c r="H16" s="3"/>
    </row>
    <row r="17" spans="2:8" ht="20.25" customHeight="1" x14ac:dyDescent="0.35">
      <c r="B17" s="25" t="s">
        <v>20</v>
      </c>
      <c r="C17" s="25"/>
      <c r="D17" s="25"/>
      <c r="E17" s="35"/>
      <c r="F17" s="42" t="s">
        <v>2</v>
      </c>
      <c r="G17" s="43">
        <v>0</v>
      </c>
      <c r="H17" s="3"/>
    </row>
    <row r="18" spans="2:8" ht="64.5" customHeight="1" x14ac:dyDescent="0.35">
      <c r="B18" s="24" t="s">
        <v>21</v>
      </c>
      <c r="C18" s="24"/>
      <c r="D18" s="24"/>
      <c r="E18" s="36"/>
      <c r="F18" s="45" t="s">
        <v>0</v>
      </c>
      <c r="G18" s="46">
        <f>IFERROR((G13+G15+G16)-G17,"")</f>
        <v>8568</v>
      </c>
      <c r="H18" s="2"/>
    </row>
  </sheetData>
  <sheetProtection formatCells="0" formatColumns="0" formatRows="0" selectLockedCells="1" sort="0"/>
  <mergeCells count="7">
    <mergeCell ref="D2:E2"/>
    <mergeCell ref="F2:G2"/>
    <mergeCell ref="B2:C2"/>
    <mergeCell ref="B18:E18"/>
    <mergeCell ref="B17:E17"/>
    <mergeCell ref="D4:E4"/>
    <mergeCell ref="D6:E6"/>
  </mergeCells>
  <phoneticPr fontId="1" type="noConversion"/>
  <conditionalFormatting sqref="F13:F17">
    <cfRule type="expression" dxfId="11" priority="7">
      <formula>MOD(ROW(),2)=0</formula>
    </cfRule>
  </conditionalFormatting>
  <conditionalFormatting sqref="G12:G17">
    <cfRule type="expression" dxfId="10" priority="1">
      <formula>MOD(ROW(),2)=1</formula>
    </cfRule>
    <cfRule type="expression" dxfId="9" priority="2">
      <formula>MOD(ROW(),2)=0</formula>
    </cfRule>
  </conditionalFormatting>
  <dataValidations xWindow="760" yWindow="637" count="30">
    <dataValidation allowBlank="1" showInputMessage="1" showErrorMessage="1" prompt="The Total Amount is automatically calculated in this cell" sqref="G18" xr:uid="{00000000-0002-0000-0000-000000000000}"/>
    <dataValidation allowBlank="1" showInputMessage="1" showErrorMessage="1" prompt="Enter the Deposit amount, if any" sqref="G17" xr:uid="{00000000-0002-0000-0000-000001000000}"/>
    <dataValidation allowBlank="1" showInputMessage="1" showErrorMessage="1" prompt="Enter Other Amounts to be charged, if any" sqref="G16" xr:uid="{00000000-0002-0000-0000-000002000000}"/>
    <dataValidation allowBlank="1" showInputMessage="1" showErrorMessage="1" prompt="The Sales Tax is automatically calculated in this cell" sqref="G15" xr:uid="{00000000-0002-0000-0000-000003000000}"/>
    <dataValidation allowBlank="1" showInputMessage="1" showErrorMessage="1" prompt="Enter Tax Rate in this cell" sqref="G14" xr:uid="{00000000-0002-0000-0000-000004000000}"/>
    <dataValidation allowBlank="1" showInputMessage="1" showErrorMessage="1" prompt="The subtotal amount is automatically calculated in this cell" sqref="G13" xr:uid="{00000000-0002-0000-0000-000005000000}"/>
    <dataValidation allowBlank="1" showInputMessage="1" showErrorMessage="1" prompt="Enter Price in this column under this heading" sqref="G9:G11" xr:uid="{00000000-0002-0000-0000-000006000000}"/>
    <dataValidation allowBlank="1" showInputMessage="1" showErrorMessage="1" prompt="Enter Discount in this column under this heading" sqref="F9" xr:uid="{00000000-0002-0000-0000-000007000000}"/>
    <dataValidation allowBlank="1" showInputMessage="1" showErrorMessage="1" prompt="Enter Unit Price in this column under this heading" sqref="E9:E11" xr:uid="{00000000-0002-0000-0000-000008000000}"/>
    <dataValidation allowBlank="1" showInputMessage="1" showErrorMessage="1" prompt="Enter Quantity in this column under this heading" sqref="D9:D11" xr:uid="{00000000-0002-0000-0000-000009000000}"/>
    <dataValidation allowBlank="1" showInputMessage="1" showErrorMessage="1" prompt="Enter Description in this column under this heading" sqref="C9:C12" xr:uid="{00000000-0002-0000-0000-00000A000000}"/>
    <dataValidation allowBlank="1" showInputMessage="1" showErrorMessage="1" prompt="Enter Item number in this column under this heading" sqref="B9 B11" xr:uid="{00000000-0002-0000-0000-00000B000000}"/>
    <dataValidation allowBlank="1" showInputMessage="1" showErrorMessage="1" prompt="Enter Invoice Date in the cell at right" sqref="F6:F7" xr:uid="{00000000-0002-0000-0000-00000C000000}"/>
    <dataValidation allowBlank="1" showInputMessage="1" showErrorMessage="1" prompt="Enter Invoice Date in this cell" sqref="G6:G7" xr:uid="{00000000-0002-0000-0000-00000D000000}"/>
    <dataValidation allowBlank="1" showInputMessage="1" showErrorMessage="1" prompt="Enter Invoice number in the cell at right" sqref="F4:F5" xr:uid="{00000000-0002-0000-0000-00000E000000}"/>
    <dataValidation allowBlank="1" showInputMessage="1" showErrorMessage="1" prompt="Enter Invoice number in this cell" sqref="G4:G5" xr:uid="{00000000-0002-0000-0000-00000F000000}"/>
    <dataValidation allowBlank="1" showInputMessage="1" showErrorMessage="1" prompt="Enter billing Address in this cell" sqref="C6:C7" xr:uid="{00000000-0002-0000-0000-000010000000}"/>
    <dataValidation allowBlank="1" showInputMessage="1" showErrorMessage="1" prompt="Enter billing Address in the cell at right" sqref="B6:B7" xr:uid="{00000000-0002-0000-0000-000011000000}"/>
    <dataValidation allowBlank="1" showInputMessage="1" showErrorMessage="1" prompt="Enter Bill To in the cell at right" sqref="B4:B5" xr:uid="{00000000-0002-0000-0000-000012000000}"/>
    <dataValidation allowBlank="1" showInputMessage="1" showErrorMessage="1" prompt="Enter Fax Number in this cell" sqref="D6:E7" xr:uid="{00000000-0002-0000-0000-000014000000}"/>
    <dataValidation allowBlank="1" showInputMessage="1" showErrorMessage="1" prompt="Enter Phone Number in this cell" sqref="D4:E5" xr:uid="{00000000-0002-0000-0000-000015000000}"/>
    <dataValidation allowBlank="1" showInputMessage="1" showErrorMessage="1" prompt="Modify Company Name in this cell. Enter company address, phone, fax,  email &amp; website in cells B2 to G3. Enter Billing details in cells B4 to G7" sqref="B1" xr:uid="{00000000-0002-0000-0000-000017000000}"/>
    <dataValidation allowBlank="1" showInputMessage="1" showErrorMessage="1" prompt="Create a Simple Invoice in this worksheet" sqref="A1" xr:uid="{00000000-0002-0000-0000-000018000000}"/>
    <dataValidation allowBlank="1" showInputMessage="1" showErrorMessage="1" prompt="Enter company Street Address in this cell" sqref="B2:C3" xr:uid="{00000000-0002-0000-0000-000019000000}"/>
    <dataValidation allowBlank="1" showInputMessage="1" showErrorMessage="1" prompt="Enter company Phone Number in this cell" sqref="D2:E3" xr:uid="{00000000-0002-0000-0000-00001B000000}"/>
    <dataValidation allowBlank="1" showInputMessage="1" showErrorMessage="1" prompt="Enter company Email address in this cell" sqref="F2:G3" xr:uid="{00000000-0002-0000-0000-00001D000000}"/>
    <dataValidation allowBlank="1" showInputMessage="1" showErrorMessage="1" prompt="Enter Bill To in this cell" sqref="C4:C5" xr:uid="{00000000-0002-0000-0000-00001E000000}"/>
    <dataValidation allowBlank="1" showInputMessage="1" showErrorMessage="1" prompt="Enter Invoice For in the cell at right" sqref="B8" xr:uid="{00000000-0002-0000-0000-00001F000000}"/>
    <dataValidation allowBlank="1" showInputMessage="1" showErrorMessage="1" prompt="Enter Invoice For in this cell" sqref="C8" xr:uid="{00000000-0002-0000-0000-000020000000}"/>
    <dataValidation allowBlank="1" showInputMessage="1" showErrorMessage="1" prompt="Enter the number of days in which the Total is due to replace the first &lt;#&gt; in this cell and enter overdue service charge percent in the second &lt;#&gt;" sqref="B18:E18" xr:uid="{00000000-0002-0000-0000-000021000000}"/>
  </dataValidations>
  <hyperlinks>
    <hyperlink ref="F2" r:id="rId1" xr:uid="{E0CCBB02-97C7-4052-B98D-C83987CB1091}"/>
  </hyperlinks>
  <printOptions horizontalCentered="1"/>
  <pageMargins left="0.7" right="0.7" top="1" bottom="1" header="0.3" footer="0.3"/>
  <pageSetup fitToHeight="0" orientation="portrait" r:id="rId2"/>
  <headerFooter differentFirst="1" alignWithMargins="0">
    <oddHeader>&amp;R&amp;"Arial"&amp;8&amp;K000000[OFFICIAL]&amp;1#</oddHeader>
    <oddFooter>Page &amp;P of &amp;N</oddFooter>
    <firstHeader>&amp;R&amp;"Arial"&amp;8&amp;K000000[OFFICIAL]&amp;1#</firstHeader>
  </headerFooter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F8FCAB62-B301-4E8B-B15B-175233FC19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C023E4-00E7-46F9-9E7C-906963247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996E35-CF38-4EE8-BF85-AAE60D691A7A}">
  <ds:schemaRefs>
    <ds:schemaRef ds:uri="http://purl.org/dc/terms/"/>
    <ds:schemaRef ds:uri="http://purl.org/dc/dcmitype/"/>
    <ds:schemaRef ds:uri="http://purl.org/dc/elements/1.1/"/>
    <ds:schemaRef ds:uri="71af3243-3dd4-4a8d-8c0d-dd76da1f02a5"/>
    <ds:schemaRef ds:uri="http://schemas.microsoft.com/office/2006/documentManagement/types"/>
    <ds:schemaRef ds:uri="http://schemas.microsoft.com/office/infopath/2007/PartnerControls"/>
    <ds:schemaRef ds:uri="16c05727-aa75-4e4a-9b5f-8a80a1165891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TM03987161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Invoice</vt:lpstr>
      <vt:lpstr>ColumnTitle1</vt:lpstr>
      <vt:lpstr>company_name</vt:lpstr>
      <vt:lpstr>Invoice!Print_Titles</vt:lpstr>
      <vt:lpstr>RowTitleRegion1..C7</vt:lpstr>
      <vt:lpstr>RowTitleRegion2..G5</vt:lpstr>
      <vt:lpstr>RowTitleRegion3..G26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2019-07-07T22:54:40Z</dcterms:created>
  <dcterms:modified xsi:type="dcterms:W3CDTF">2026-06-02T12:19:26Z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SIP_Label_e3f2a5e4-10d8-4dfe-8082-7352c27520cb_Enabled">
    <vt:lpwstr>true</vt:lpwstr>
  </property>
  <property fmtid="{D5CDD505-2E9C-101B-9397-08002B2CF9AE}" pid="4" name="MSIP_Label_e3f2a5e4-10d8-4dfe-8082-7352c27520cb_SetDate">
    <vt:lpwstr>2021-10-15T06:26:33Z</vt:lpwstr>
  </property>
  <property fmtid="{D5CDD505-2E9C-101B-9397-08002B2CF9AE}" pid="5" name="MSIP_Label_e3f2a5e4-10d8-4dfe-8082-7352c27520cb_Method">
    <vt:lpwstr>Standard</vt:lpwstr>
  </property>
  <property fmtid="{D5CDD505-2E9C-101B-9397-08002B2CF9AE}" pid="6" name="MSIP_Label_e3f2a5e4-10d8-4dfe-8082-7352c27520cb_Name">
    <vt:lpwstr>_Official</vt:lpwstr>
  </property>
  <property fmtid="{D5CDD505-2E9C-101B-9397-08002B2CF9AE}" pid="7" name="MSIP_Label_e3f2a5e4-10d8-4dfe-8082-7352c27520cb_SiteId">
    <vt:lpwstr>2864f69d-77c3-4fbe-bbc0-97502052391a</vt:lpwstr>
  </property>
  <property fmtid="{D5CDD505-2E9C-101B-9397-08002B2CF9AE}" pid="8" name="MSIP_Label_e3f2a5e4-10d8-4dfe-8082-7352c27520cb_ActionId">
    <vt:lpwstr>221b66d0-9b10-4c40-9d4b-97e753b07d4a</vt:lpwstr>
  </property>
  <property fmtid="{D5CDD505-2E9C-101B-9397-08002B2CF9AE}" pid="9" name="MSIP_Label_e3f2a5e4-10d8-4dfe-8082-7352c27520cb_ContentBits">
    <vt:lpwstr>1</vt:lpwstr>
  </property>
</Properties>
</file>